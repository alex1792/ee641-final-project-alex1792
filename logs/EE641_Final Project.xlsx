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<sst xmlns="http://schemas.openxmlformats.org/spreadsheetml/2006/main" count="192" uniqueCount="46">
  <si>
    <t>defreeze layer</t>
  </si>
  <si>
    <t>lambda_decorr</t>
  </si>
  <si>
    <t>Epoch</t>
  </si>
  <si>
    <t>Train Loss</t>
  </si>
  <si>
    <t>Val Loss</t>
  </si>
  <si>
    <t>Test Accuracy</t>
  </si>
  <si>
    <t>learning rate</t>
  </si>
  <si>
    <t>Tendency</t>
  </si>
  <si>
    <t>DATASET</t>
  </si>
  <si>
    <t>BASELINE</t>
  </si>
  <si>
    <t>0,01</t>
  </si>
  <si>
    <t>CIFAR10</t>
  </si>
  <si>
    <t>v</t>
  </si>
  <si>
    <t>Baseline</t>
  </si>
  <si>
    <t>MyModel</t>
  </si>
  <si>
    <t>CIFAR100</t>
  </si>
  <si>
    <t>x</t>
  </si>
  <si>
    <t>Model</t>
  </si>
  <si>
    <t>train_layer</t>
  </si>
  <si>
    <t>(0,0) accuracy</t>
  </si>
  <si>
    <t>(0, 1) accuracy</t>
  </si>
  <si>
    <t>(1, 0) accuracy</t>
  </si>
  <si>
    <t>(1, 1) accuracy</t>
  </si>
  <si>
    <t>full accuracy</t>
  </si>
  <si>
    <t>ViT-B-32 Baseline</t>
  </si>
  <si>
    <t>Waterbirds</t>
  </si>
  <si>
    <t>mean</t>
  </si>
  <si>
    <t>std</t>
  </si>
  <si>
    <t>ViT-B-32 + DeCV</t>
  </si>
  <si>
    <t>MODEL</t>
  </si>
  <si>
    <t>(0, 0)</t>
  </si>
  <si>
    <t>(0, 1)</t>
  </si>
  <si>
    <t>(1, 0)</t>
  </si>
  <si>
    <t>(1, 1)</t>
  </si>
  <si>
    <t>Full</t>
  </si>
  <si>
    <t>improvement</t>
  </si>
  <si>
    <t>ViT-14-L (Baseilne)</t>
  </si>
  <si>
    <t>ViT-14-L + User-guided-ablation-6-layers</t>
  </si>
  <si>
    <t>Fine-tuned Baseline</t>
  </si>
  <si>
    <t>Fine-tuned Baseline + Ldiv</t>
  </si>
  <si>
    <t>Fine-tuned Baseline + User-guided ablation 1 layer</t>
  </si>
  <si>
    <t>Fine-tuned Baseline + User-guided ablation 2 layer</t>
  </si>
  <si>
    <t>Fine-tuned Baseline + User-guided ablation 3 layer</t>
  </si>
  <si>
    <t>Fine-tuned Baseline + User-guided ablation 4 layer</t>
  </si>
  <si>
    <t>Fine-tuned Baseline + User-guided ablation 5 layer</t>
  </si>
  <si>
    <t>Fine-tuned Baseline + User-guided ablation 6 layer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</si>
</sst>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7"/>
      <name val="Arial"/>
      <scheme val="minor"/>
    </font>
    <font>
      <color theme="8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7">
    <border/>
    <border>
      <left style="thick">
        <color rgb="FF93C47D"/>
      </left>
      <top style="thick">
        <color rgb="FF93C47D"/>
      </top>
    </border>
    <border>
      <top style="thick">
        <color rgb="FF93C47D"/>
      </top>
    </border>
    <border>
      <right style="thick">
        <color rgb="FF93C47D"/>
      </right>
      <top style="thick">
        <color rgb="FF93C47D"/>
      </top>
    </border>
    <border>
      <left style="thick">
        <color rgb="FF93C47D"/>
      </left>
    </border>
    <border>
      <right style="thick">
        <color rgb="FF93C47D"/>
      </right>
    </border>
    <border>
      <left style="thick">
        <color rgb="FF93C47D"/>
      </left>
      <bottom style="thick">
        <color rgb="FF93C47D"/>
      </bottom>
    </border>
    <border>
      <bottom style="thick">
        <color rgb="FF93C47D"/>
      </bottom>
    </border>
    <border>
      <right style="thick">
        <color rgb="FF93C47D"/>
      </right>
      <bottom style="thick">
        <color rgb="FF93C47D"/>
      </bottom>
    </border>
    <border>
      <left style="thick">
        <color rgb="FF4285F4"/>
      </left>
      <top style="thick">
        <color rgb="FF4285F4"/>
      </top>
    </border>
    <border>
      <top style="thick">
        <color rgb="FF4285F4"/>
      </top>
    </border>
    <border>
      <right style="thick">
        <color rgb="FF4285F4"/>
      </right>
      <top style="thick">
        <color rgb="FF4285F4"/>
      </top>
    </border>
    <border>
      <left style="thick">
        <color rgb="FF4285F4"/>
      </left>
    </border>
    <border>
      <right style="thick">
        <color rgb="FF4285F4"/>
      </right>
    </border>
    <border>
      <left style="thick">
        <color rgb="FF4285F4"/>
      </left>
      <bottom style="thick">
        <color rgb="FF4285F4"/>
      </bottom>
    </border>
    <border>
      <bottom style="thick">
        <color rgb="FF4285F4"/>
      </bottom>
    </border>
    <border>
      <right style="thick">
        <color rgb="FF4285F4"/>
      </right>
      <bottom style="thick">
        <color rgb="FF4285F4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1" numFmtId="11" xfId="0" applyAlignment="1" applyFont="1" applyNumberFormat="1">
      <alignment horizontal="center" readingOrder="0"/>
    </xf>
    <xf borderId="0" fillId="0" fontId="2" numFmtId="11" xfId="0" applyAlignment="1" applyFont="1" applyNumberForma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0" fillId="0" fontId="1" numFmtId="10" xfId="0" applyAlignment="1" applyFont="1" applyNumberFormat="1">
      <alignment horizontal="center"/>
    </xf>
    <xf borderId="5" fillId="0" fontId="1" numFmtId="0" xfId="0" applyAlignment="1" applyBorder="1" applyFont="1">
      <alignment horizontal="center"/>
    </xf>
    <xf borderId="0" fillId="0" fontId="1" numFmtId="9" xfId="0" applyAlignment="1" applyFont="1" applyNumberForma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0" fillId="0" fontId="1" numFmtId="11" xfId="0" applyAlignment="1" applyFont="1" applyNumberFormat="1">
      <alignment horizontal="center"/>
    </xf>
    <xf borderId="13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0" fillId="2" fontId="1" numFmtId="0" xfId="0" applyAlignment="1" applyFill="1" applyFont="1">
      <alignment horizontal="center" readingOrder="0"/>
    </xf>
    <xf borderId="0" fillId="2" fontId="1" numFmtId="1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8" max="8" width="13.13"/>
    <col customWidth="1" min="9" max="9" width="15.75"/>
    <col customWidth="1" min="10" max="10" width="23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9</v>
      </c>
      <c r="B2" s="2">
        <v>0.0</v>
      </c>
      <c r="C2" s="2" t="s">
        <v>10</v>
      </c>
      <c r="D2" s="2">
        <v>11.0</v>
      </c>
      <c r="E2" s="2">
        <v>0.56</v>
      </c>
      <c r="F2" s="2">
        <v>0.13</v>
      </c>
      <c r="G2" s="3">
        <v>0.96</v>
      </c>
      <c r="H2" s="4">
        <v>0.001</v>
      </c>
      <c r="I2" s="2"/>
      <c r="J2" s="2" t="s">
        <v>11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9</v>
      </c>
      <c r="B3" s="2">
        <v>1.0</v>
      </c>
      <c r="C3" s="2">
        <v>0.0</v>
      </c>
      <c r="D3" s="2">
        <v>8.0</v>
      </c>
      <c r="E3" s="2">
        <v>0.019</v>
      </c>
      <c r="F3" s="2">
        <v>0.1537</v>
      </c>
      <c r="G3" s="3">
        <v>0.9595</v>
      </c>
      <c r="H3" s="4">
        <v>0.001</v>
      </c>
      <c r="I3" s="2" t="s">
        <v>12</v>
      </c>
      <c r="J3" s="2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/>
      <c r="B4" s="2">
        <v>1.0</v>
      </c>
      <c r="C4" s="2">
        <v>0.1</v>
      </c>
      <c r="D4" s="2">
        <v>6.0</v>
      </c>
      <c r="E4" s="2">
        <v>0.021</v>
      </c>
      <c r="F4" s="2">
        <v>0.1504</v>
      </c>
      <c r="G4" s="3">
        <v>0.9685</v>
      </c>
      <c r="H4" s="4">
        <v>0.001</v>
      </c>
      <c r="I4" s="2" t="s">
        <v>12</v>
      </c>
      <c r="J4" s="2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>
        <v>1.0</v>
      </c>
      <c r="C5" s="2">
        <v>0.01</v>
      </c>
      <c r="D5" s="2">
        <v>10.0</v>
      </c>
      <c r="E5" s="2">
        <v>0.0335</v>
      </c>
      <c r="F5" s="2">
        <v>0.15</v>
      </c>
      <c r="G5" s="3">
        <v>0.9595</v>
      </c>
      <c r="H5" s="4">
        <v>0.001</v>
      </c>
      <c r="I5" s="2" t="s">
        <v>12</v>
      </c>
      <c r="J5" s="2" t="s">
        <v>11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2">
        <v>1.0</v>
      </c>
      <c r="C6" s="2">
        <v>0.05</v>
      </c>
      <c r="D6" s="2">
        <v>7.0</v>
      </c>
      <c r="E6" s="2">
        <v>0.0196</v>
      </c>
      <c r="F6" s="2">
        <v>0.1536</v>
      </c>
      <c r="G6" s="3">
        <v>0.966</v>
      </c>
      <c r="H6" s="4">
        <v>0.001</v>
      </c>
      <c r="I6" s="2" t="s">
        <v>12</v>
      </c>
      <c r="J6" s="2" t="s">
        <v>11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2">
        <v>1.0</v>
      </c>
      <c r="C7" s="2">
        <v>1.0</v>
      </c>
      <c r="D7" s="2">
        <v>8.0</v>
      </c>
      <c r="E7" s="2">
        <v>0.0552</v>
      </c>
      <c r="F7" s="2">
        <v>0.2176</v>
      </c>
      <c r="G7" s="3">
        <v>0.959</v>
      </c>
      <c r="H7" s="4">
        <v>0.001</v>
      </c>
      <c r="I7" s="2" t="s">
        <v>12</v>
      </c>
      <c r="J7" s="2" t="s">
        <v>11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/>
      <c r="B8" s="2">
        <v>1.0</v>
      </c>
      <c r="C8" s="2">
        <v>0.5</v>
      </c>
      <c r="D8" s="2">
        <v>6.0</v>
      </c>
      <c r="E8" s="2">
        <v>0.0443</v>
      </c>
      <c r="F8" s="2">
        <v>0.1817</v>
      </c>
      <c r="G8" s="3">
        <v>0.952</v>
      </c>
      <c r="H8" s="4">
        <v>0.001</v>
      </c>
      <c r="I8" s="2" t="s">
        <v>12</v>
      </c>
      <c r="J8" s="2" t="s">
        <v>11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2" t="s">
        <v>11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13</v>
      </c>
      <c r="B10" s="2">
        <v>2.0</v>
      </c>
      <c r="C10" s="2">
        <v>0.0</v>
      </c>
      <c r="D10" s="2">
        <v>7.0</v>
      </c>
      <c r="E10" s="2">
        <v>0.031</v>
      </c>
      <c r="F10" s="2">
        <v>0.1716</v>
      </c>
      <c r="G10" s="3">
        <v>0.9635</v>
      </c>
      <c r="H10" s="4">
        <v>0.001</v>
      </c>
      <c r="I10" s="2" t="s">
        <v>12</v>
      </c>
      <c r="J10" s="2" t="s">
        <v>11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14</v>
      </c>
      <c r="B11" s="2">
        <v>2.0</v>
      </c>
      <c r="C11" s="2">
        <v>0.1</v>
      </c>
      <c r="D11" s="2">
        <v>7.0</v>
      </c>
      <c r="E11" s="2">
        <v>0.0751</v>
      </c>
      <c r="F11" s="2">
        <v>0.1957</v>
      </c>
      <c r="G11" s="3">
        <v>0.957</v>
      </c>
      <c r="H11" s="4">
        <v>0.001</v>
      </c>
      <c r="I11" s="2" t="s">
        <v>12</v>
      </c>
      <c r="J11" s="2" t="s">
        <v>11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14</v>
      </c>
      <c r="B12" s="2">
        <v>2.0</v>
      </c>
      <c r="C12" s="2">
        <v>0.05</v>
      </c>
      <c r="D12" s="2">
        <v>8.0</v>
      </c>
      <c r="E12" s="2">
        <v>0.0615</v>
      </c>
      <c r="F12" s="2">
        <v>0.175</v>
      </c>
      <c r="G12" s="3">
        <v>0.9565</v>
      </c>
      <c r="H12" s="4">
        <v>0.001</v>
      </c>
      <c r="I12" s="2" t="s">
        <v>12</v>
      </c>
      <c r="J12" s="2" t="s">
        <v>11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14</v>
      </c>
      <c r="B13" s="2">
        <v>2.0</v>
      </c>
      <c r="C13" s="2">
        <v>0.01</v>
      </c>
      <c r="D13" s="2">
        <v>8.0</v>
      </c>
      <c r="E13" s="2">
        <v>0.0332</v>
      </c>
      <c r="F13" s="2">
        <v>0.2215</v>
      </c>
      <c r="G13" s="3">
        <v>0.959</v>
      </c>
      <c r="H13" s="4">
        <v>0.001</v>
      </c>
      <c r="I13" s="2" t="s">
        <v>12</v>
      </c>
      <c r="J13" s="2" t="s">
        <v>11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13</v>
      </c>
      <c r="B16" s="2">
        <v>2.0</v>
      </c>
      <c r="C16" s="2">
        <v>0.0</v>
      </c>
      <c r="D16" s="2">
        <v>8.0</v>
      </c>
      <c r="E16" s="2">
        <v>0.0796</v>
      </c>
      <c r="F16" s="2">
        <v>0.9354</v>
      </c>
      <c r="G16" s="3">
        <v>0.8115</v>
      </c>
      <c r="H16" s="4">
        <v>0.001</v>
      </c>
      <c r="I16" s="2" t="s">
        <v>12</v>
      </c>
      <c r="J16" s="2" t="s">
        <v>15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14</v>
      </c>
      <c r="B17" s="2">
        <v>2.0</v>
      </c>
      <c r="C17" s="2">
        <v>1.0</v>
      </c>
      <c r="D17" s="2">
        <v>7.0</v>
      </c>
      <c r="E17" s="2">
        <v>0.7153</v>
      </c>
      <c r="F17" s="2">
        <v>1.0315</v>
      </c>
      <c r="G17" s="3">
        <v>0.7845</v>
      </c>
      <c r="H17" s="4">
        <v>0.001</v>
      </c>
      <c r="I17" s="2" t="s">
        <v>12</v>
      </c>
      <c r="J17" s="2" t="s">
        <v>15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14</v>
      </c>
      <c r="B18" s="2">
        <v>2.0</v>
      </c>
      <c r="C18" s="2">
        <v>0.1</v>
      </c>
      <c r="D18" s="2">
        <v>7.0</v>
      </c>
      <c r="E18" s="2">
        <v>0.1334</v>
      </c>
      <c r="F18" s="2">
        <v>0.9082</v>
      </c>
      <c r="G18" s="3">
        <v>0.808</v>
      </c>
      <c r="H18" s="4">
        <v>0.001</v>
      </c>
      <c r="I18" s="2" t="s">
        <v>12</v>
      </c>
      <c r="J18" s="2" t="s">
        <v>15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14</v>
      </c>
      <c r="B19" s="2">
        <v>2.0</v>
      </c>
      <c r="C19" s="2">
        <v>0.01</v>
      </c>
      <c r="D19" s="2">
        <v>7.0</v>
      </c>
      <c r="E19" s="2">
        <v>0.0472</v>
      </c>
      <c r="F19" s="2">
        <v>1.0482</v>
      </c>
      <c r="G19" s="3">
        <v>0.7745</v>
      </c>
      <c r="H19" s="4">
        <v>0.001</v>
      </c>
      <c r="I19" s="2" t="s">
        <v>12</v>
      </c>
      <c r="J19" s="2" t="s">
        <v>15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13</v>
      </c>
      <c r="B21" s="2">
        <v>2.0</v>
      </c>
      <c r="C21" s="2">
        <v>0.0</v>
      </c>
      <c r="D21" s="2">
        <v>12.0</v>
      </c>
      <c r="E21" s="2">
        <v>0.0093</v>
      </c>
      <c r="F21" s="2">
        <v>0.6033</v>
      </c>
      <c r="G21" s="3">
        <v>0.8505</v>
      </c>
      <c r="H21" s="5">
        <v>1.0E-4</v>
      </c>
      <c r="I21" s="2" t="s">
        <v>16</v>
      </c>
      <c r="J21" s="2" t="s">
        <v>15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14</v>
      </c>
      <c r="B22" s="2">
        <v>2.0</v>
      </c>
      <c r="C22" s="2">
        <v>0.1</v>
      </c>
      <c r="D22" s="2">
        <v>14.0</v>
      </c>
      <c r="E22" s="2">
        <v>0.0403</v>
      </c>
      <c r="F22" s="2">
        <v>0.5494</v>
      </c>
      <c r="G22" s="3">
        <v>0.8495</v>
      </c>
      <c r="H22" s="5">
        <v>1.0E-4</v>
      </c>
      <c r="I22" s="2" t="s">
        <v>12</v>
      </c>
      <c r="J22" s="2" t="s">
        <v>15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14</v>
      </c>
      <c r="B23" s="2">
        <v>2.0</v>
      </c>
      <c r="C23" s="2">
        <v>0.01</v>
      </c>
      <c r="D23" s="2">
        <v>13.0</v>
      </c>
      <c r="E23" s="2">
        <v>0.0187</v>
      </c>
      <c r="F23" s="2">
        <v>0.5895</v>
      </c>
      <c r="G23" s="6">
        <v>0.857</v>
      </c>
      <c r="H23" s="5">
        <v>1.0E-4</v>
      </c>
      <c r="I23" s="2" t="s">
        <v>12</v>
      </c>
      <c r="J23" s="2" t="s">
        <v>15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14</v>
      </c>
      <c r="B24" s="2">
        <v>2.0</v>
      </c>
      <c r="C24" s="4">
        <v>0.001</v>
      </c>
      <c r="D24" s="2">
        <v>13.0</v>
      </c>
      <c r="E24" s="2">
        <v>0.0122</v>
      </c>
      <c r="F24" s="2">
        <v>0.5958</v>
      </c>
      <c r="G24" s="6">
        <v>0.861</v>
      </c>
      <c r="H24" s="5">
        <v>1.0E-4</v>
      </c>
      <c r="I24" s="2" t="s">
        <v>12</v>
      </c>
      <c r="J24" s="2" t="s">
        <v>15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14</v>
      </c>
      <c r="B25" s="2">
        <v>2.0</v>
      </c>
      <c r="C25" s="4">
        <v>1.0E-4</v>
      </c>
      <c r="D25" s="2">
        <v>13.0</v>
      </c>
      <c r="E25" s="2">
        <v>0.0082</v>
      </c>
      <c r="F25" s="2">
        <v>0.5973</v>
      </c>
      <c r="G25" s="6">
        <v>0.855</v>
      </c>
      <c r="H25" s="5">
        <v>1.0E-4</v>
      </c>
      <c r="I25" s="2" t="s">
        <v>12</v>
      </c>
      <c r="J25" s="2" t="s">
        <v>15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13</v>
      </c>
      <c r="B27" s="7">
        <v>4.0</v>
      </c>
      <c r="C27" s="2">
        <v>0.0</v>
      </c>
      <c r="D27" s="2">
        <v>7.0</v>
      </c>
      <c r="E27" s="2">
        <v>0.2207</v>
      </c>
      <c r="F27" s="2">
        <v>1.471</v>
      </c>
      <c r="G27" s="3">
        <v>0.7315</v>
      </c>
      <c r="H27" s="4">
        <v>0.001</v>
      </c>
      <c r="I27" s="2" t="s">
        <v>12</v>
      </c>
      <c r="J27" s="2" t="s">
        <v>15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14</v>
      </c>
      <c r="B28" s="2">
        <v>4.0</v>
      </c>
      <c r="C28" s="4">
        <v>0.001</v>
      </c>
      <c r="D28" s="2">
        <v>7.0</v>
      </c>
      <c r="E28" s="2">
        <v>0.1593</v>
      </c>
      <c r="F28" s="2">
        <v>1.7046</v>
      </c>
      <c r="G28" s="3">
        <v>0.7245</v>
      </c>
      <c r="H28" s="4">
        <v>0.001</v>
      </c>
      <c r="I28" s="2" t="s">
        <v>12</v>
      </c>
      <c r="J28" s="2" t="s">
        <v>15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14</v>
      </c>
      <c r="B29" s="2">
        <v>4.0</v>
      </c>
      <c r="C29" s="4">
        <v>1.0E-4</v>
      </c>
      <c r="D29" s="2">
        <v>9.0</v>
      </c>
      <c r="E29" s="2">
        <v>0.1909</v>
      </c>
      <c r="F29" s="2">
        <v>1.7217</v>
      </c>
      <c r="G29" s="3">
        <v>0.7165</v>
      </c>
      <c r="H29" s="4">
        <v>0.001</v>
      </c>
      <c r="I29" s="2" t="s">
        <v>12</v>
      </c>
      <c r="J29" s="2" t="s">
        <v>15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13</v>
      </c>
      <c r="B31" s="2">
        <v>4.0</v>
      </c>
      <c r="C31" s="2">
        <v>0.0</v>
      </c>
      <c r="D31" s="2">
        <v>11.0</v>
      </c>
      <c r="E31" s="2">
        <v>0.145</v>
      </c>
      <c r="F31" s="2">
        <v>1.7357</v>
      </c>
      <c r="G31" s="3">
        <v>0.717</v>
      </c>
      <c r="H31" s="4">
        <v>1.0E-4</v>
      </c>
      <c r="I31" s="2" t="s">
        <v>12</v>
      </c>
      <c r="J31" s="2" t="s">
        <v>15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14</v>
      </c>
      <c r="B32" s="2">
        <v>4.0</v>
      </c>
      <c r="C32" s="4">
        <v>0.001</v>
      </c>
      <c r="D32" s="2">
        <v>7.0</v>
      </c>
      <c r="E32" s="2">
        <v>0.1721</v>
      </c>
      <c r="F32" s="2">
        <v>1.4399</v>
      </c>
      <c r="G32" s="3">
        <v>0.7445</v>
      </c>
      <c r="H32" s="4">
        <v>1.0E-4</v>
      </c>
      <c r="I32" s="2" t="s">
        <v>12</v>
      </c>
      <c r="J32" s="2" t="s">
        <v>15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14</v>
      </c>
      <c r="B33" s="2">
        <v>4.0</v>
      </c>
      <c r="C33" s="4">
        <v>1.0E-4</v>
      </c>
      <c r="D33" s="2">
        <v>12.0</v>
      </c>
      <c r="E33" s="2">
        <v>0.0088</v>
      </c>
      <c r="F33" s="2">
        <v>0.5335</v>
      </c>
      <c r="G33" s="3">
        <v>0.8685</v>
      </c>
      <c r="H33" s="4">
        <v>1.0E-4</v>
      </c>
      <c r="I33" s="2" t="s">
        <v>12</v>
      </c>
      <c r="J33" s="2" t="s">
        <v>15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8" t="s">
        <v>17</v>
      </c>
      <c r="B36" s="9" t="s">
        <v>18</v>
      </c>
      <c r="C36" s="9" t="s">
        <v>1</v>
      </c>
      <c r="D36" s="9" t="s">
        <v>19</v>
      </c>
      <c r="E36" s="9" t="s">
        <v>20</v>
      </c>
      <c r="F36" s="9" t="s">
        <v>21</v>
      </c>
      <c r="G36" s="9" t="s">
        <v>22</v>
      </c>
      <c r="H36" s="9" t="s">
        <v>23</v>
      </c>
      <c r="I36" s="10"/>
      <c r="J36" s="1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2" t="s">
        <v>24</v>
      </c>
      <c r="B37" s="2">
        <v>1.0</v>
      </c>
      <c r="C37" s="2">
        <v>0.0</v>
      </c>
      <c r="D37" s="3">
        <v>0.9951</v>
      </c>
      <c r="E37" s="3">
        <v>0.678</v>
      </c>
      <c r="F37" s="3">
        <v>0.5093</v>
      </c>
      <c r="G37" s="3">
        <v>0.9408</v>
      </c>
      <c r="H37" s="3">
        <v>0.8119</v>
      </c>
      <c r="I37" s="1"/>
      <c r="J37" s="13" t="s">
        <v>25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2" t="s">
        <v>24</v>
      </c>
      <c r="B38" s="2">
        <v>1.0</v>
      </c>
      <c r="C38" s="2">
        <v>0.0</v>
      </c>
      <c r="D38" s="3">
        <v>0.9956</v>
      </c>
      <c r="E38" s="3">
        <v>0.6878</v>
      </c>
      <c r="F38" s="3">
        <v>0.5062</v>
      </c>
      <c r="G38" s="3">
        <v>0.9408</v>
      </c>
      <c r="H38" s="3">
        <v>0.8155</v>
      </c>
      <c r="I38" s="1"/>
      <c r="J38" s="13" t="s">
        <v>25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2" t="s">
        <v>24</v>
      </c>
      <c r="B39" s="2">
        <v>1.0</v>
      </c>
      <c r="C39" s="2">
        <v>0.0</v>
      </c>
      <c r="D39" s="3">
        <v>0.9956</v>
      </c>
      <c r="E39" s="3">
        <v>0.6816</v>
      </c>
      <c r="F39" s="3">
        <v>0.4907</v>
      </c>
      <c r="G39" s="3">
        <v>0.9377</v>
      </c>
      <c r="H39" s="3">
        <v>0.811</v>
      </c>
      <c r="I39" s="1"/>
      <c r="J39" s="13" t="s">
        <v>25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2" t="s">
        <v>24</v>
      </c>
      <c r="B40" s="2">
        <v>1.0</v>
      </c>
      <c r="C40" s="2">
        <v>0.0</v>
      </c>
      <c r="D40" s="3">
        <v>0.9965</v>
      </c>
      <c r="E40" s="3">
        <v>0.706</v>
      </c>
      <c r="F40" s="3">
        <v>0.4735</v>
      </c>
      <c r="G40" s="3">
        <v>0.9346</v>
      </c>
      <c r="H40" s="3">
        <v>0.8186</v>
      </c>
      <c r="I40" s="1"/>
      <c r="J40" s="13" t="s">
        <v>25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2" t="s">
        <v>24</v>
      </c>
      <c r="B41" s="2">
        <v>1.0</v>
      </c>
      <c r="C41" s="2">
        <v>0.0</v>
      </c>
      <c r="D41" s="3">
        <v>0.9973</v>
      </c>
      <c r="E41" s="3">
        <v>0.7552</v>
      </c>
      <c r="F41" s="3">
        <v>0.5498</v>
      </c>
      <c r="G41" s="3">
        <v>0.9377</v>
      </c>
      <c r="H41" s="3">
        <v>0.8469</v>
      </c>
      <c r="I41" s="1"/>
      <c r="J41" s="13" t="s">
        <v>25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2" t="s">
        <v>26</v>
      </c>
      <c r="B42" s="2" t="s">
        <v>16</v>
      </c>
      <c r="C42" s="2" t="s">
        <v>16</v>
      </c>
      <c r="D42" s="14">
        <f t="shared" ref="D42:H42" si="1">AVERAGE(D37:D41)</f>
        <v>0.99602</v>
      </c>
      <c r="E42" s="14">
        <f t="shared" si="1"/>
        <v>0.70172</v>
      </c>
      <c r="F42" s="14">
        <f t="shared" si="1"/>
        <v>0.5059</v>
      </c>
      <c r="G42" s="14">
        <f t="shared" si="1"/>
        <v>0.93832</v>
      </c>
      <c r="H42" s="14">
        <f t="shared" si="1"/>
        <v>0.82078</v>
      </c>
      <c r="I42" s="1"/>
      <c r="J42" s="1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2" t="s">
        <v>27</v>
      </c>
      <c r="B43" s="2" t="s">
        <v>16</v>
      </c>
      <c r="C43" s="2" t="s">
        <v>16</v>
      </c>
      <c r="D43" s="1">
        <f t="shared" ref="D43:H43" si="2">STDEV(D37:D41)</f>
        <v>0.0008757853618</v>
      </c>
      <c r="E43" s="1">
        <f t="shared" si="2"/>
        <v>0.03177911264</v>
      </c>
      <c r="F43" s="1">
        <f t="shared" si="2"/>
        <v>0.02837102395</v>
      </c>
      <c r="G43" s="1">
        <f t="shared" si="2"/>
        <v>0.002593646082</v>
      </c>
      <c r="H43" s="1">
        <f t="shared" si="2"/>
        <v>0.01491130444</v>
      </c>
      <c r="I43" s="1"/>
      <c r="J43" s="1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2" t="s">
        <v>28</v>
      </c>
      <c r="B45" s="2">
        <v>1.0</v>
      </c>
      <c r="C45" s="2">
        <v>0.1</v>
      </c>
      <c r="D45" s="3">
        <v>0.9978</v>
      </c>
      <c r="E45" s="3">
        <v>0.8177</v>
      </c>
      <c r="F45" s="3">
        <v>0.5452</v>
      </c>
      <c r="G45" s="3">
        <v>0.9346</v>
      </c>
      <c r="H45" s="3">
        <v>0.8706</v>
      </c>
      <c r="I45" s="1"/>
      <c r="J45" s="13" t="s">
        <v>25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2" t="s">
        <v>28</v>
      </c>
      <c r="B46" s="2">
        <v>1.0</v>
      </c>
      <c r="C46" s="2">
        <v>0.1</v>
      </c>
      <c r="D46" s="3">
        <v>0.996</v>
      </c>
      <c r="E46" s="3">
        <v>0.6989</v>
      </c>
      <c r="F46" s="3">
        <v>0.4984</v>
      </c>
      <c r="G46" s="3">
        <v>0.9346</v>
      </c>
      <c r="H46" s="3">
        <v>0.8184</v>
      </c>
      <c r="I46" s="1"/>
      <c r="J46" s="13" t="s">
        <v>25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2" t="s">
        <v>28</v>
      </c>
      <c r="B47" s="2">
        <v>1.0</v>
      </c>
      <c r="C47" s="2">
        <v>0.1</v>
      </c>
      <c r="D47" s="3">
        <v>0.9956</v>
      </c>
      <c r="E47" s="16">
        <v>0.69</v>
      </c>
      <c r="F47" s="3">
        <v>0.5078</v>
      </c>
      <c r="G47" s="3">
        <v>0.9377</v>
      </c>
      <c r="H47" s="3">
        <v>0.8162</v>
      </c>
      <c r="I47" s="1"/>
      <c r="J47" s="13" t="s">
        <v>25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2" t="s">
        <v>28</v>
      </c>
      <c r="B48" s="2">
        <v>1.0</v>
      </c>
      <c r="C48" s="2">
        <v>0.1</v>
      </c>
      <c r="D48" s="3">
        <v>0.9965</v>
      </c>
      <c r="E48" s="3">
        <v>0.7499</v>
      </c>
      <c r="F48" s="3">
        <v>0.5592</v>
      </c>
      <c r="G48" s="3">
        <v>0.9424</v>
      </c>
      <c r="H48" s="3">
        <v>0.846</v>
      </c>
      <c r="I48" s="1"/>
      <c r="J48" s="13" t="s">
        <v>25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2" t="s">
        <v>28</v>
      </c>
      <c r="B49" s="2">
        <v>1.0</v>
      </c>
      <c r="C49" s="2">
        <v>0.1</v>
      </c>
      <c r="D49" s="3">
        <v>0.9969</v>
      </c>
      <c r="E49" s="3">
        <v>0.7242</v>
      </c>
      <c r="F49" s="3">
        <v>0.5047</v>
      </c>
      <c r="G49" s="3">
        <v>0.9377</v>
      </c>
      <c r="H49" s="3">
        <v>0.8297</v>
      </c>
      <c r="I49" s="1"/>
      <c r="J49" s="13" t="s">
        <v>25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2" t="s">
        <v>26</v>
      </c>
      <c r="B50" s="2" t="s">
        <v>16</v>
      </c>
      <c r="C50" s="2" t="s">
        <v>16</v>
      </c>
      <c r="D50" s="14">
        <f t="shared" ref="D50:H50" si="3">AVERAGE(D45:D49)</f>
        <v>0.99656</v>
      </c>
      <c r="E50" s="14">
        <f t="shared" si="3"/>
        <v>0.73614</v>
      </c>
      <c r="F50" s="14">
        <f t="shared" si="3"/>
        <v>0.52306</v>
      </c>
      <c r="G50" s="14">
        <f t="shared" si="3"/>
        <v>0.9374</v>
      </c>
      <c r="H50" s="14">
        <f t="shared" si="3"/>
        <v>0.83618</v>
      </c>
      <c r="I50" s="1"/>
      <c r="J50" s="1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7" t="s">
        <v>27</v>
      </c>
      <c r="B51" s="18" t="s">
        <v>16</v>
      </c>
      <c r="C51" s="18" t="s">
        <v>16</v>
      </c>
      <c r="D51" s="19">
        <f t="shared" ref="D51:H51" si="4">STDEV(D45:D49)</f>
        <v>0.0008502940668</v>
      </c>
      <c r="E51" s="19">
        <f t="shared" si="4"/>
        <v>0.05123390479</v>
      </c>
      <c r="F51" s="19">
        <f t="shared" si="4"/>
        <v>0.02726881002</v>
      </c>
      <c r="G51" s="19">
        <f t="shared" si="4"/>
        <v>0.003196091363</v>
      </c>
      <c r="H51" s="19">
        <f t="shared" si="4"/>
        <v>0.02257480897</v>
      </c>
      <c r="I51" s="19"/>
      <c r="J51" s="2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/>
      <c r="B53" s="2"/>
      <c r="C53" s="2"/>
      <c r="D53" s="1"/>
      <c r="E53" s="1"/>
      <c r="F53" s="1"/>
      <c r="G53" s="1"/>
      <c r="H53" s="1"/>
      <c r="I53" s="1"/>
      <c r="J53" s="1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2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1" t="s">
        <v>29</v>
      </c>
      <c r="B56" s="22" t="s">
        <v>0</v>
      </c>
      <c r="C56" s="22" t="s">
        <v>1</v>
      </c>
      <c r="D56" s="22" t="s">
        <v>2</v>
      </c>
      <c r="E56" s="22" t="s">
        <v>3</v>
      </c>
      <c r="F56" s="22" t="s">
        <v>4</v>
      </c>
      <c r="G56" s="22" t="s">
        <v>5</v>
      </c>
      <c r="H56" s="22" t="s">
        <v>6</v>
      </c>
      <c r="I56" s="22" t="s">
        <v>7</v>
      </c>
      <c r="J56" s="23" t="s">
        <v>8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4" t="s">
        <v>13</v>
      </c>
      <c r="B57" s="2">
        <v>4.0</v>
      </c>
      <c r="C57" s="2">
        <v>0.0</v>
      </c>
      <c r="D57" s="2">
        <v>11.0</v>
      </c>
      <c r="E57" s="2">
        <v>0.145</v>
      </c>
      <c r="F57" s="2">
        <v>1.7357</v>
      </c>
      <c r="G57" s="3">
        <v>0.717</v>
      </c>
      <c r="H57" s="4">
        <v>1.0E-4</v>
      </c>
      <c r="I57" s="2" t="s">
        <v>12</v>
      </c>
      <c r="J57" s="25" t="s">
        <v>15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4" t="s">
        <v>13</v>
      </c>
      <c r="B58" s="2">
        <v>4.0</v>
      </c>
      <c r="C58" s="2">
        <v>0.0</v>
      </c>
      <c r="D58" s="2">
        <v>11.0</v>
      </c>
      <c r="E58" s="2">
        <v>0.0092</v>
      </c>
      <c r="F58" s="2">
        <v>0.571</v>
      </c>
      <c r="G58" s="3">
        <v>0.8665</v>
      </c>
      <c r="H58" s="4">
        <v>1.0E-4</v>
      </c>
      <c r="I58" s="2" t="s">
        <v>12</v>
      </c>
      <c r="J58" s="25" t="s">
        <v>15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4" t="s">
        <v>13</v>
      </c>
      <c r="B59" s="2">
        <v>4.0</v>
      </c>
      <c r="C59" s="2">
        <v>0.0</v>
      </c>
      <c r="D59" s="2">
        <v>10.0</v>
      </c>
      <c r="E59" s="2">
        <v>0.012</v>
      </c>
      <c r="F59" s="2">
        <v>0.611</v>
      </c>
      <c r="G59" s="3">
        <v>0.867</v>
      </c>
      <c r="H59" s="4">
        <v>1.0E-4</v>
      </c>
      <c r="I59" s="2" t="s">
        <v>16</v>
      </c>
      <c r="J59" s="25" t="s">
        <v>15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4" t="s">
        <v>13</v>
      </c>
      <c r="B60" s="2">
        <v>4.0</v>
      </c>
      <c r="C60" s="2">
        <v>0.0</v>
      </c>
      <c r="D60" s="2">
        <v>12.0</v>
      </c>
      <c r="E60" s="2">
        <v>0.007</v>
      </c>
      <c r="F60" s="2">
        <v>0.631</v>
      </c>
      <c r="G60" s="3">
        <v>0.867</v>
      </c>
      <c r="H60" s="4">
        <v>1.0E-4</v>
      </c>
      <c r="I60" s="2" t="s">
        <v>16</v>
      </c>
      <c r="J60" s="25" t="s">
        <v>15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4" t="s">
        <v>13</v>
      </c>
      <c r="B61" s="2">
        <v>4.0</v>
      </c>
      <c r="C61" s="2">
        <v>0.0</v>
      </c>
      <c r="D61" s="2">
        <v>11.0</v>
      </c>
      <c r="E61" s="2">
        <v>0.0091</v>
      </c>
      <c r="F61" s="2">
        <v>0.646</v>
      </c>
      <c r="G61" s="16">
        <v>0.87</v>
      </c>
      <c r="H61" s="4">
        <v>1.0E-4</v>
      </c>
      <c r="I61" s="2" t="s">
        <v>16</v>
      </c>
      <c r="J61" s="25" t="s">
        <v>15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4" t="s">
        <v>26</v>
      </c>
      <c r="B62" s="2" t="s">
        <v>16</v>
      </c>
      <c r="C62" s="2" t="s">
        <v>16</v>
      </c>
      <c r="D62" s="1">
        <f t="shared" ref="D62:H62" si="5">AVERAGE(D57:D61)</f>
        <v>11</v>
      </c>
      <c r="E62" s="1">
        <f t="shared" si="5"/>
        <v>0.03646</v>
      </c>
      <c r="F62" s="1">
        <f t="shared" si="5"/>
        <v>0.83894</v>
      </c>
      <c r="G62" s="14">
        <f t="shared" si="5"/>
        <v>0.8375</v>
      </c>
      <c r="H62" s="26">
        <f t="shared" si="5"/>
        <v>0.0001</v>
      </c>
      <c r="I62" s="1"/>
      <c r="J62" s="2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4" t="s">
        <v>27</v>
      </c>
      <c r="B63" s="2" t="s">
        <v>16</v>
      </c>
      <c r="C63" s="2" t="s">
        <v>16</v>
      </c>
      <c r="D63" s="1">
        <f t="shared" ref="D63:H63" si="6">stdev(D57:D61)</f>
        <v>0.7071067812</v>
      </c>
      <c r="E63" s="1">
        <f t="shared" si="6"/>
        <v>0.06070171332</v>
      </c>
      <c r="F63" s="1">
        <f t="shared" si="6"/>
        <v>0.5020935849</v>
      </c>
      <c r="G63" s="1">
        <f t="shared" si="6"/>
        <v>0.06737581168</v>
      </c>
      <c r="H63" s="1">
        <f t="shared" si="6"/>
        <v>0</v>
      </c>
      <c r="I63" s="1"/>
      <c r="J63" s="2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8"/>
      <c r="B64" s="1"/>
      <c r="C64" s="1"/>
      <c r="D64" s="1"/>
      <c r="E64" s="1"/>
      <c r="F64" s="1"/>
      <c r="G64" s="1"/>
      <c r="H64" s="1"/>
      <c r="I64" s="1"/>
      <c r="J64" s="2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4" t="s">
        <v>14</v>
      </c>
      <c r="B65" s="2">
        <v>4.0</v>
      </c>
      <c r="C65" s="4">
        <v>1.0E-4</v>
      </c>
      <c r="D65" s="2">
        <v>12.0</v>
      </c>
      <c r="E65" s="2">
        <v>0.0088</v>
      </c>
      <c r="F65" s="2">
        <v>0.5335</v>
      </c>
      <c r="G65" s="3">
        <v>0.8685</v>
      </c>
      <c r="H65" s="4">
        <v>1.0E-4</v>
      </c>
      <c r="I65" s="2" t="s">
        <v>12</v>
      </c>
      <c r="J65" s="25" t="s">
        <v>15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4" t="s">
        <v>14</v>
      </c>
      <c r="B66" s="2">
        <v>4.0</v>
      </c>
      <c r="C66" s="4">
        <v>1.0E-4</v>
      </c>
      <c r="D66" s="2">
        <v>12.0</v>
      </c>
      <c r="E66" s="2">
        <v>0.009</v>
      </c>
      <c r="F66" s="2">
        <v>0.543</v>
      </c>
      <c r="G66" s="3">
        <v>0.866</v>
      </c>
      <c r="H66" s="4">
        <v>1.0E-4</v>
      </c>
      <c r="I66" s="2" t="s">
        <v>12</v>
      </c>
      <c r="J66" s="25" t="s">
        <v>15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4" t="s">
        <v>14</v>
      </c>
      <c r="B67" s="2">
        <v>4.0</v>
      </c>
      <c r="C67" s="4">
        <v>1.0E-4</v>
      </c>
      <c r="D67" s="2">
        <v>10.0</v>
      </c>
      <c r="E67" s="2">
        <v>0.0143</v>
      </c>
      <c r="F67" s="2">
        <v>0.595</v>
      </c>
      <c r="G67" s="3">
        <v>0.866</v>
      </c>
      <c r="H67" s="4">
        <v>1.0E-4</v>
      </c>
      <c r="I67" s="2" t="s">
        <v>12</v>
      </c>
      <c r="J67" s="25" t="s">
        <v>15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4" t="s">
        <v>14</v>
      </c>
      <c r="B68" s="2">
        <v>4.0</v>
      </c>
      <c r="C68" s="4">
        <v>1.0E-4</v>
      </c>
      <c r="D68" s="2">
        <v>12.0</v>
      </c>
      <c r="E68" s="2">
        <v>0.0089</v>
      </c>
      <c r="F68" s="2">
        <v>0.604</v>
      </c>
      <c r="G68" s="3">
        <v>0.865</v>
      </c>
      <c r="H68" s="4">
        <v>1.0E-4</v>
      </c>
      <c r="I68" s="2" t="s">
        <v>12</v>
      </c>
      <c r="J68" s="25" t="s">
        <v>15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4" t="s">
        <v>14</v>
      </c>
      <c r="B69" s="2">
        <v>4.0</v>
      </c>
      <c r="C69" s="4">
        <v>1.0E-4</v>
      </c>
      <c r="D69" s="2">
        <v>12.0</v>
      </c>
      <c r="E69" s="2">
        <v>0.0089</v>
      </c>
      <c r="F69" s="2">
        <v>0.697</v>
      </c>
      <c r="G69" s="3">
        <v>0.866</v>
      </c>
      <c r="H69" s="4">
        <v>1.0E-4</v>
      </c>
      <c r="I69" s="2" t="s">
        <v>12</v>
      </c>
      <c r="J69" s="25" t="s">
        <v>15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4" t="s">
        <v>26</v>
      </c>
      <c r="B70" s="2" t="s">
        <v>16</v>
      </c>
      <c r="C70" s="2" t="s">
        <v>16</v>
      </c>
      <c r="D70" s="1">
        <f t="shared" ref="D70:H70" si="7">average(D65:D69)</f>
        <v>11.6</v>
      </c>
      <c r="E70" s="1">
        <f t="shared" si="7"/>
        <v>0.00998</v>
      </c>
      <c r="F70" s="1">
        <f t="shared" si="7"/>
        <v>0.5945</v>
      </c>
      <c r="G70" s="14">
        <f t="shared" si="7"/>
        <v>0.8663</v>
      </c>
      <c r="H70" s="26">
        <f t="shared" si="7"/>
        <v>0.0001</v>
      </c>
      <c r="I70" s="1"/>
      <c r="J70" s="2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9" t="s">
        <v>27</v>
      </c>
      <c r="B71" s="30" t="s">
        <v>16</v>
      </c>
      <c r="C71" s="30" t="s">
        <v>16</v>
      </c>
      <c r="D71" s="30">
        <f t="shared" ref="D71:H71" si="8">stdev(D65:D69)</f>
        <v>0.894427191</v>
      </c>
      <c r="E71" s="30">
        <f t="shared" si="8"/>
        <v>0.002415988411</v>
      </c>
      <c r="F71" s="30">
        <f t="shared" si="8"/>
        <v>0.06513447628</v>
      </c>
      <c r="G71" s="30">
        <f t="shared" si="8"/>
        <v>0.001303840481</v>
      </c>
      <c r="H71" s="30">
        <f t="shared" si="8"/>
        <v>0</v>
      </c>
      <c r="I71" s="31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 t="s">
        <v>17</v>
      </c>
      <c r="B76" s="2" t="s">
        <v>30</v>
      </c>
      <c r="C76" s="2" t="s">
        <v>31</v>
      </c>
      <c r="D76" s="2" t="s">
        <v>32</v>
      </c>
      <c r="E76" s="2" t="s">
        <v>33</v>
      </c>
      <c r="F76" s="2" t="s">
        <v>34</v>
      </c>
      <c r="G76" s="2" t="s">
        <v>35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3" t="s">
        <v>36</v>
      </c>
      <c r="B77" s="34">
        <v>0.9441</v>
      </c>
      <c r="C77" s="34">
        <v>0.4776</v>
      </c>
      <c r="D77" s="34">
        <v>0.7056</v>
      </c>
      <c r="E77" s="34">
        <v>0.933</v>
      </c>
      <c r="F77" s="34">
        <v>0.7349</v>
      </c>
      <c r="G77" s="2">
        <v>0.0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37</v>
      </c>
      <c r="B78" s="3">
        <v>0.9153</v>
      </c>
      <c r="C78" s="3">
        <v>0.7698</v>
      </c>
      <c r="D78" s="3">
        <v>0.8442</v>
      </c>
      <c r="E78" s="3">
        <v>0.8972</v>
      </c>
      <c r="F78" s="3">
        <v>0.8488</v>
      </c>
      <c r="G78" s="14">
        <f>F78-F77</f>
        <v>0.1139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3" t="s">
        <v>38</v>
      </c>
      <c r="B79" s="34">
        <v>0.9982</v>
      </c>
      <c r="C79" s="34">
        <v>0.8936</v>
      </c>
      <c r="D79" s="34">
        <v>0.7196</v>
      </c>
      <c r="E79" s="34">
        <v>0.9626</v>
      </c>
      <c r="F79" s="34">
        <v>0.9227</v>
      </c>
      <c r="G79" s="2">
        <v>0.0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39</v>
      </c>
      <c r="B80" s="3">
        <v>0.9982</v>
      </c>
      <c r="C80" s="3">
        <v>0.8745</v>
      </c>
      <c r="D80" s="3">
        <v>0.7352</v>
      </c>
      <c r="E80" s="3">
        <v>0.9673</v>
      </c>
      <c r="F80" s="3">
        <v>0.9175</v>
      </c>
      <c r="G80" s="14">
        <f>F80-F79</f>
        <v>-0.0052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 t="s">
        <v>40</v>
      </c>
      <c r="B81" s="3">
        <v>0.9987</v>
      </c>
      <c r="C81" s="3">
        <v>0.9237</v>
      </c>
      <c r="D81" s="3">
        <v>0.7601</v>
      </c>
      <c r="E81" s="3">
        <v>0.947</v>
      </c>
      <c r="F81" s="3">
        <v>0.9373</v>
      </c>
      <c r="G81" s="14">
        <f>F81-F79</f>
        <v>0.0146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41</v>
      </c>
      <c r="B82" s="3">
        <v>0.9982</v>
      </c>
      <c r="C82" s="3">
        <v>0.9392</v>
      </c>
      <c r="D82" s="3">
        <v>0.7695</v>
      </c>
      <c r="E82" s="3">
        <v>0.9439</v>
      </c>
      <c r="F82" s="3">
        <v>0.9439</v>
      </c>
      <c r="G82" s="14">
        <f>F82-F79</f>
        <v>0.0212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 t="s">
        <v>42</v>
      </c>
      <c r="B83" s="3">
        <v>0.9982</v>
      </c>
      <c r="C83" s="3">
        <v>0.9406</v>
      </c>
      <c r="D83" s="3">
        <v>0.771</v>
      </c>
      <c r="E83" s="3">
        <v>0.9439</v>
      </c>
      <c r="F83" s="3">
        <v>0.9446</v>
      </c>
      <c r="G83" s="14">
        <f>F83-F79</f>
        <v>0.0219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43</v>
      </c>
      <c r="B84" s="3">
        <v>0.9982</v>
      </c>
      <c r="C84" s="3">
        <v>0.9415</v>
      </c>
      <c r="D84" s="3">
        <v>0.7695</v>
      </c>
      <c r="E84" s="3">
        <v>0.9424</v>
      </c>
      <c r="F84" s="3">
        <v>0.9446</v>
      </c>
      <c r="G84" s="14">
        <f>F84-F79</f>
        <v>0.0219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 t="s">
        <v>44</v>
      </c>
      <c r="B85" s="3">
        <v>0.9982</v>
      </c>
      <c r="C85" s="3">
        <v>0.9415</v>
      </c>
      <c r="D85" s="3">
        <v>0.7695</v>
      </c>
      <c r="E85" s="3">
        <v>0.9424</v>
      </c>
      <c r="F85" s="3">
        <v>0.9446</v>
      </c>
      <c r="G85" s="14">
        <f>F85-F79</f>
        <v>0.0219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 t="s">
        <v>45</v>
      </c>
      <c r="B86" s="3">
        <v>0.9982</v>
      </c>
      <c r="C86" s="3">
        <v>0.9446</v>
      </c>
      <c r="D86" s="3">
        <v>0.7726</v>
      </c>
      <c r="E86" s="3">
        <v>0.9408</v>
      </c>
      <c r="F86" s="3">
        <v>0.946</v>
      </c>
      <c r="G86" s="14">
        <f>F86-F79</f>
        <v>0.0233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